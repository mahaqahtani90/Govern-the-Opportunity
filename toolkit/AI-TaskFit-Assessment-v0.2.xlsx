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d5cb5f0d140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625b261264974808"/>
    <x:sheet xmlns:r="http://schemas.openxmlformats.org/officeDocument/2006/relationships" name="TASK" sheetId="2" r:id="R1c15f8c8ec344925"/>
    <x:sheet xmlns:r="http://schemas.openxmlformats.org/officeDocument/2006/relationships" name="OPPORTUNITY" sheetId="3" r:id="R96551aa9e58a420f"/>
    <x:sheet xmlns:r="http://schemas.openxmlformats.org/officeDocument/2006/relationships" name="RISK" sheetId="4" r:id="R01cc24829565418c"/>
    <x:sheet xmlns:r="http://schemas.openxmlformats.org/officeDocument/2006/relationships" name="DECISION" sheetId="5" r:id="R570781f790594be9"/>
    <x:sheet xmlns:r="http://schemas.openxmlformats.org/officeDocument/2006/relationships" name="PILOT" sheetId="6" r:id="R4e2ac4bacce742c6"/>
  </x:sheets>
</x:workbook>
</file>

<file path=xl/comments1.xml><?xml version="1.0" encoding="utf-8"?>
<x:comments xmlns:x="http://schemas.openxmlformats.org/spreadsheetml/2006/main">
  <x:authors>
    <x:author>tc={B4729263-6A75-CEF1-D915-FEE836B5FDF1}</x:author>
  </x:authors>
  <x:commentList>
    <x:comment ref="E19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Opportunity Score is the average of AI Fit, Business Value, and Readiness. Thresholds are v0.1 public-draft hypotheses requiring field validation.</x:t>
        </x:r>
      </x:text>
    </x:comment>
  </x:commentList>
</x:comments>
</file>

<file path=xl/comments2.xml><?xml version="1.0" encoding="utf-8"?>
<x:comments xmlns:x="http://schemas.openxmlformats.org/spreadsheetml/2006/main">
  <x:authors>
    <x:author>tc={51F78711-F5BA-7D00-C284-9301FDBF7C22}</x:author>
  </x:authors>
  <x:commentList>
    <x:comment ref="B1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Initial risk uses the highest material risk-domain score so a critical impact is not hidden by averaging.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475"/>
      <x:name val="Carlito"/>
    </x:font>
    <x:font>
      <x:b/>
      <x:sz val="11"/>
      <x:color rgb="FF14213D"/>
      <x:name val="Carlito"/>
    </x:font>
    <x:font>
      <x:sz val="10"/>
      <x:color rgb="FF172033"/>
      <x:name val="Carlito"/>
    </x:font>
    <x:font>
      <x:b/>
      <x:sz val="11"/>
      <x:color rgb="FFFFFFFF"/>
      <x:name val="Carlito"/>
    </x:font>
    <x:font>
      <x:b/>
      <x:sz val="11"/>
      <x:color rgb="FF7C4A03"/>
      <x:name val="Carlito"/>
    </x:font>
    <x:font>
      <x:sz val="9"/>
      <x:color rgb="FF5B6475"/>
      <x:name val="Carlito"/>
    </x:font>
    <x:font>
      <x:b/>
      <x:sz val="11"/>
      <x:color rgb="FF172B4D"/>
      <x:name val="Carlito"/>
    </x:font>
    <x:font>
      <x:b/>
      <x:sz val="11"/>
      <x:color rgb="FF8A4B08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F5F7FA"/>
      </x:patternFill>
    </x:fill>
    <x:fill>
      <x:patternFill patternType="solid">
        <x:fgColor rgb="FFD9E2F2"/>
      </x:patternFill>
    </x:fill>
    <x:fill>
      <x:patternFill patternType="solid">
        <x:fgColor rgb="FF2563EB"/>
      </x:patternFill>
    </x:fill>
    <x:fill>
      <x:patternFill patternType="solid">
        <x:fgColor rgb="FFFEF3C7"/>
      </x:patternFill>
    </x:fill>
    <x:fill>
      <x:patternFill patternType="solid">
        <x:fgColor rgb="FFFFFDF5"/>
      </x:patternFill>
    </x:fill>
    <x:fill>
      <x:patternFill patternType="solid">
        <x:fgColor rgb="FF172B4D"/>
      </x:patternFill>
    </x:fill>
    <x:fill>
      <x:patternFill patternType="solid">
        <x:fgColor rgb="FF2F6DE1"/>
      </x:patternFill>
    </x:fill>
    <x:fill>
      <x:patternFill patternType="solid">
        <x:fgColor rgb="FFDCE6F5"/>
      </x:patternFill>
    </x:fill>
    <x:fill>
      <x:patternFill patternType="solid">
        <x:fgColor rgb="FFFFF2CC"/>
      </x:patternFill>
    </x:fill>
  </x:fills>
  <x:borders count="16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2563EB"/>
      </x:left>
      <x:top style="thin">
        <x:color rgb="FF2563EB"/>
      </x:top>
      <x:bottom style="thin">
        <x:color rgb="FF2563EB"/>
      </x:bottom>
    </x:border>
    <x:border>
      <x:top style="thin">
        <x:color rgb="FF2563EB"/>
      </x:top>
      <x:bottom style="thin">
        <x:color rgb="FF2563EB"/>
      </x:bottom>
    </x:border>
    <x:border>
      <x:right style="thin">
        <x:color rgb="FF2563EB"/>
      </x:right>
      <x:top style="thin">
        <x:color rgb="FF2563EB"/>
      </x:top>
      <x:bottom style="thin">
        <x:color rgb="FF2563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</x:border>
    <x:border>
      <x:left style="thin">
        <x:color rgb="FFE5E7EB"/>
      </x:left>
      <x:right style="thin">
        <x:color rgb="FFE5E7EB"/>
      </x:right>
    </x:border>
    <x:border>
      <x:left style="thin">
        <x:color rgb="FFE5E7EB"/>
      </x:left>
    </x:border>
  </x:borders>
  <x:cellStyleXfs count="1">
    <x:xf numFmtId="0" fontId="0" fillId="0" borderId="0"/>
  </x:cellStyleXfs>
  <x:cellXfs count="9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4" fillId="7" borderId="11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12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5" fillId="9" borderId="7" xfId="0" applyNumberFormat="1" applyFont="1" applyFill="1" applyBorder="1" applyAlignment="1">
      <x:alignment vertical="center" wrapText="1"/>
    </x:xf>
    <x:xf numFmtId="0" fontId="5" fillId="9" borderId="8" xfId="0" applyNumberFormat="1" applyFont="1" applyFill="1" applyBorder="1" applyAlignment="1">
      <x:alignment vertical="center" wrapText="1"/>
    </x:xf>
    <x:xf numFmtId="0" fontId="5" fillId="9" borderId="9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 wrapText="1"/>
    </x:xf>
    <x:xf numFmtId="0" fontId="6" fillId="11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dbaece22d341e4" /><Relationship Type="http://schemas.openxmlformats.org/officeDocument/2006/relationships/theme" Target="/xl/theme/theme1.xml" Id="R4e7e28093e3c40d0" /><Relationship Type="http://schemas.openxmlformats.org/officeDocument/2006/relationships/sharedStrings" Target="/xl/sharedStrings.xml" Id="R91f255b44f2949b6" /><Relationship Type="http://schemas.openxmlformats.org/officeDocument/2006/relationships/worksheet" Target="/xl/worksheets/sheet1.xml" Id="R625b261264974808" /><Relationship Type="http://schemas.openxmlformats.org/officeDocument/2006/relationships/worksheet" Target="/xl/worksheets/sheet2.xml" Id="R1c15f8c8ec344925" /><Relationship Type="http://schemas.openxmlformats.org/officeDocument/2006/relationships/worksheet" Target="/xl/worksheets/sheet3.xml" Id="R96551aa9e58a420f" /><Relationship Type="http://schemas.openxmlformats.org/officeDocument/2006/relationships/worksheet" Target="/xl/worksheets/sheet4.xml" Id="R01cc24829565418c" /><Relationship Type="http://schemas.openxmlformats.org/officeDocument/2006/relationships/worksheet" Target="/xl/worksheets/sheet5.xml" Id="R570781f790594be9" /><Relationship Type="http://schemas.openxmlformats.org/officeDocument/2006/relationships/worksheet" Target="/xl/worksheets/sheet6.xml" Id="R4e2ac4bacce742c6" /><Relationship Type="http://schemas.microsoft.com/office/2017/10/relationships/person" Target="/xl/persons/person.xml" Id="R4a99db4874bf4e55" /></Relationships>
</file>

<file path=xl/persons/person.xml><?xml version="1.0" encoding="utf-8"?>
<xltc:personList xmlns:xltc="http://schemas.microsoft.com/office/spreadsheetml/2018/threadedcomments">
  <xltc:person displayName="Maha Abomedrah" id="{51A52DE4-E90B-403B-8025-852748DB0F39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E19" dT="2026-08-25T07:14:01.102" personId="{51A52DE4-E90B-403B-8025-852748DB0F39}" id="{B4729263-6A75-CEF1-D915-FEE836B5FDF1}">
    <xltc:text>Opportunity Score is the average of AI Fit, Business Value, and Readiness. Thresholds are v0.1 public-draft hypotheses requiring field validation.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13" dT="2026-08-25T07:14:01.103" personId="{51A52DE4-E90B-403B-8025-852748DB0F39}" id="{51F78711-F5BA-7D00-C284-9301FDBF7C22}">
    <xltc:text>Initial risk uses the highest material risk-domain score so a critical impact is not hidden by averaging.</xltc:text>
  </xltc:threadedComment>
</xltc:ThreadedComment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871de611448e4e62" /><Relationship Type="http://schemas.openxmlformats.org/officeDocument/2006/relationships/vmlDrawing" Target="/xl/drawings/vmldrawing.vml" Id="R30ec520210fd4d9b" /><Relationship Type="http://schemas.microsoft.com/office/2017/10/relationships/threadedComment" Target="/xl/threadedcomments/threadedcomment.xml" Id="R4caa7c49d34949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19eeea99073d4fea" /><Relationship Type="http://schemas.openxmlformats.org/officeDocument/2006/relationships/vmlDrawing" Target="/xl/drawings/vmldrawing2.vml" Id="R805244acdc3a47d3" /><Relationship Type="http://schemas.microsoft.com/office/2017/10/relationships/threadedComment" Target="/xl/threadedcomments/threadedcomment2.xml" Id="R7afd6922614d4e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4" customHeight="1">
      <x:c r="A1" s="91" t="str">
        <x:v>Govern the Opportunity — Layer 1 of AI Governance</x:v>
      </x:c>
      <x:c r="B1" s="91" t="str">
        <x:v>Govern the Opportunity — Layer 1 of AI Governance</x:v>
      </x:c>
      <x:c r="C1" s="91" t="str">
        <x:v>Govern the Opportunity — Layer 1 of AI Governance</x:v>
      </x:c>
      <x:c r="D1" s="91" t="str">
        <x:v>Govern the Opportunity — Layer 1 of AI Governance</x:v>
      </x:c>
      <x:c r="E1" s="91" t="str">
        <x:v>Govern the Opportunity — Layer 1 of AI Governance</x:v>
      </x:c>
      <x:c r="F1" s="91" t="str">
        <x:v>Govern the Opportunity — Layer 1 of AI Governance</x:v>
      </x:c>
    </x:row>
    <x:row r="2" ht="30" customHeight="1">
      <x:c r="A2" s="7" t="str">
        <x:v>AI Opportunity Governance Framework | AI TaskFit 5D v0.2 Public Draft — Context, Authority &amp; Accountability</x:v>
      </x:c>
      <x:c r="B2" s="7" t="str">
        <x:v>AI Opportunity Governance Framework | AI TaskFit 5D v0.1 Public Draft</x:v>
      </x:c>
      <x:c r="C2" s="7" t="str">
        <x:v>AI Opportunity Governance Framework | AI TaskFit 5D v0.1 Public Draft</x:v>
      </x:c>
      <x:c r="D2" s="7" t="str">
        <x:v>AI Opportunity Governance Framework | AI TaskFit 5D v0.1 Public Draft</x:v>
      </x:c>
      <x:c r="E2" s="7" t="str">
        <x:v>AI Opportunity Governance Framework | AI TaskFit 5D v0.1 Public Draft</x:v>
      </x:c>
      <x:c r="F2" s="7" t="str">
        <x:v>AI Opportunity Governance Framework | AI TaskFit 5D v0.1 Public Draft</x:v>
      </x:c>
    </x:row>
    <x:row r="3">
      <x:c r="A3" s="92"/>
      <x:c r="B3" s="92"/>
      <x:c r="C3" s="92"/>
      <x:c r="D3" s="92"/>
      <x:c r="E3" s="92"/>
      <x:c r="F3" s="92"/>
    </x:row>
    <x:row r="4">
      <x:c r="A4" s="85" t="str">
        <x:v>Purpose</x:v>
      </x:c>
      <x:c r="B4" s="85" t="str">
        <x:v>Purpose</x:v>
      </x:c>
      <x:c r="C4" s="85" t="str">
        <x:v>Purpose</x:v>
      </x:c>
      <x:c r="D4" s="85" t="str">
        <x:v>Purpose</x:v>
      </x:c>
      <x:c r="E4" s="85" t="str">
        <x:v>Purpose</x:v>
      </x:c>
      <x:c r="F4" s="85" t="str">
        <x:v>Purpose</x:v>
      </x:c>
    </x:row>
    <x:row r="5">
      <x:c r="A5" s="24" t="str">
        <x:v>Govern the opportunity before governing the solution. AI TaskFit qualifies a clearly defined task in context, screens initial risk, sets an AI authority boundary, assigns risk ownership, and defines evidence and decision rights required before adoption.</x:v>
      </x:c>
      <x:c r="B5" s="25" t="str">
        <x:v>Govern the selection decision before governing the solution. AI TaskFit qualifies a clearly defined task, screens initial risk, sets the permitted usage mode, and defines evidence required before adoption.</x:v>
      </x:c>
      <x:c r="C5" s="25" t="str">
        <x:v>Govern the selection decision before governing the solution. AI TaskFit qualifies a clearly defined task, screens initial risk, sets the permitted usage mode, and defines evidence required before adoption.</x:v>
      </x:c>
      <x:c r="D5" s="25" t="str">
        <x:v>Govern the selection decision before governing the solution. AI TaskFit qualifies a clearly defined task, screens initial risk, sets the permitted usage mode, and defines evidence required before adoption.</x:v>
      </x:c>
      <x:c r="E5" s="25" t="str">
        <x:v>Govern the selection decision before governing the solution. AI TaskFit qualifies a clearly defined task, screens initial risk, sets the permitted usage mode, and defines evidence required before adoption.</x:v>
      </x:c>
      <x:c r="F5" s="26" t="str">
        <x:v>Govern the selection decision before governing the solution. AI TaskFit qualifies a clearly defined task, screens initial risk, sets the permitted usage mode, and defines evidence required before adoption.</x:v>
      </x:c>
    </x:row>
    <x:row r="6">
      <x:c r="A6" s="27" t="str">
        <x:v>Govern the selection decision before governing the solution. AI TaskFit qualifies a clearly defined task, screens initial risk, sets the permitted usage mode, and defines evidence required before adoption.</x:v>
      </x:c>
      <x:c r="B6" s="28" t="str">
        <x:v>Govern the selection decision before governing the solution. AI TaskFit qualifies a clearly defined task, screens initial risk, sets the permitted usage mode, and defines evidence required before adoption.</x:v>
      </x:c>
      <x:c r="C6" s="28" t="str">
        <x:v>Govern the selection decision before governing the solution. AI TaskFit qualifies a clearly defined task, screens initial risk, sets the permitted usage mode, and defines evidence required before adoption.</x:v>
      </x:c>
      <x:c r="D6" s="28" t="str">
        <x:v>Govern the selection decision before governing the solution. AI TaskFit qualifies a clearly defined task, screens initial risk, sets the permitted usage mode, and defines evidence required before adoption.</x:v>
      </x:c>
      <x:c r="E6" s="28" t="str">
        <x:v>Govern the selection decision before governing the solution. AI TaskFit qualifies a clearly defined task, screens initial risk, sets the permitted usage mode, and defines evidence required before adoption.</x:v>
      </x:c>
      <x:c r="F6" s="29" t="str">
        <x:v>Govern the selection decision before governing the solution. AI TaskFit qualifies a clearly defined task, screens initial risk, sets the permitted usage mode, and defines evidence required before adoption.</x:v>
      </x:c>
    </x:row>
    <x:row r="7">
      <x:c r="A7" s="92"/>
      <x:c r="B7" s="92"/>
      <x:c r="C7" s="92"/>
      <x:c r="D7" s="92"/>
      <x:c r="E7" s="92"/>
      <x:c r="F7" s="92"/>
    </x:row>
    <x:row r="8">
      <x:c r="A8" s="75" t="str">
        <x:v>1 — Decompose</x:v>
      </x:c>
      <x:c r="B8" s="76" t="str">
        <x:v>2 — Determine</x:v>
      </x:c>
      <x:c r="C8" s="76" t="str">
        <x:v>3 — Detect</x:v>
      </x:c>
      <x:c r="D8" s="76" t="str">
        <x:v>4 — Decide</x:v>
      </x:c>
      <x:c r="E8" s="76" t="str">
        <x:v>5 — Demonstrate</x:v>
      </x:c>
      <x:c r="F8" s="77" t="str">
        <x:v>Governance outcome</x:v>
      </x:c>
    </x:row>
    <x:row r="9">
      <x:c r="A9" s="24" t="str">
        <x:v>Define context, task &amp; authority</x:v>
      </x:c>
      <x:c r="B9" s="25" t="str">
        <x:v>Score AI fit, value, readiness</x:v>
      </x:c>
      <x:c r="C9" s="25" t="str">
        <x:v>Screen impact, risk &amp; ownership</x:v>
      </x:c>
      <x:c r="D9" s="25" t="str">
        <x:v>Set usage mode &amp; oversight</x:v>
      </x:c>
      <x:c r="E9" s="25" t="str">
        <x:v>Pilot against thresholds &amp; residual risk</x:v>
      </x:c>
      <x:c r="F9" s="26" t="str">
        <x:v>Proceed, condition, assess, defer, or reject</x:v>
      </x:c>
    </x:row>
    <x:row r="10">
      <x:c r="A10" s="27" t="str">
        <x:v>TASK sheet</x:v>
      </x:c>
      <x:c r="B10" s="28" t="str">
        <x:v>OPPORTUNITY sheet</x:v>
      </x:c>
      <x:c r="C10" s="28" t="str">
        <x:v>RISK sheet</x:v>
      </x:c>
      <x:c r="D10" s="28" t="str">
        <x:v>DECISION sheet</x:v>
      </x:c>
      <x:c r="E10" s="28" t="str">
        <x:v>PILOT sheet</x:v>
      </x:c>
      <x:c r="F10" s="29" t="str">
        <x:v>Auditable and reviewable</x:v>
      </x:c>
    </x:row>
    <x:row r="11">
      <x:c r="A11" s="92"/>
      <x:c r="B11" s="92"/>
      <x:c r="C11" s="92"/>
      <x:c r="D11" s="92"/>
      <x:c r="E11" s="92"/>
      <x:c r="F11" s="92"/>
    </x:row>
    <x:row r="12">
      <x:c r="A12" s="85" t="str">
        <x:v>Critical governance rule</x:v>
      </x:c>
      <x:c r="B12" s="85" t="str">
        <x:v>Critical governance rule</x:v>
      </x:c>
      <x:c r="C12" s="85" t="str">
        <x:v>Critical governance rule</x:v>
      </x:c>
      <x:c r="D12" s="85" t="str">
        <x:v>Critical governance rule</x:v>
      </x:c>
      <x:c r="E12" s="85" t="str">
        <x:v>Critical governance rule</x:v>
      </x:c>
      <x:c r="F12" s="85" t="str">
        <x:v>Critical governance rule</x:v>
      </x:c>
    </x:row>
    <x:row r="13">
      <x:c r="A13" s="87" t="str">
        <x:v>Opportunity is averaged. Risk is not: the highest material risk domain determines the initial risk level. Capability does not automatically grant authority. Risk ownership does not automatically grant residual-risk acceptance authority.</x:v>
      </x:c>
      <x:c r="B13" s="87" t="str">
        <x:v>Opportunity is averaged. Risk is not: the highest material risk domain determines the initial risk level. High business value never cancels high impact.</x:v>
      </x:c>
      <x:c r="C13" s="87" t="str">
        <x:v>Opportunity is averaged. Risk is not: the highest material risk domain determines the initial risk level. High business value never cancels high impact.</x:v>
      </x:c>
      <x:c r="D13" s="87" t="str">
        <x:v>Opportunity is averaged. Risk is not: the highest material risk domain determines the initial risk level. High business value never cancels high impact.</x:v>
      </x:c>
      <x:c r="E13" s="87" t="str">
        <x:v>Opportunity is averaged. Risk is not: the highest material risk domain determines the initial risk level. High business value never cancels high impact.</x:v>
      </x:c>
      <x:c r="F13" s="87" t="str">
        <x:v>Opportunity is averaged. Risk is not: the highest material risk domain determines the initial risk level. High business value never cancels high impact.</x:v>
      </x:c>
    </x:row>
    <x:row r="14">
      <x:c r="A14" s="44" t="str">
        <x:v>Opportunity is averaged. Risk is not: the highest material risk domain determines the initial risk level. High business value never cancels high impact.</x:v>
      </x:c>
      <x:c r="B14" s="44" t="str">
        <x:v>Opportunity is averaged. Risk is not: the highest material risk domain determines the initial risk level. High business value never cancels high impact.</x:v>
      </x:c>
      <x:c r="C14" s="44" t="str">
        <x:v>Opportunity is averaged. Risk is not: the highest material risk domain determines the initial risk level. High business value never cancels high impact.</x:v>
      </x:c>
      <x:c r="D14" s="44" t="str">
        <x:v>Opportunity is averaged. Risk is not: the highest material risk domain determines the initial risk level. High business value never cancels high impact.</x:v>
      </x:c>
      <x:c r="E14" s="44" t="str">
        <x:v>Opportunity is averaged. Risk is not: the highest material risk domain determines the initial risk level. High business value never cancels high impact.</x:v>
      </x:c>
      <x:c r="F14" s="44" t="str">
        <x:v>Opportunity is averaged. Risk is not: the highest material risk domain determines the initial risk level. High business value never cancels high impact.</x:v>
      </x:c>
    </x:row>
    <x:row r="15">
      <x:c r="A15" s="92"/>
      <x:c r="B15" s="92"/>
      <x:c r="C15" s="92"/>
      <x:c r="D15" s="92"/>
      <x:c r="E15" s="92"/>
      <x:c r="F15" s="92"/>
    </x:row>
    <x:row r="16">
      <x:c r="A16" s="46" t="str">
        <x:v>AI TaskFit is Governance Gate 1. It applies across AI types but is not regulatory approval, certification, legal advice, or a replacement for detailed privacy, security, architecture, impact, model, technology-specific, or sector-specific assessments.</x:v>
      </x:c>
      <x:c r="B16" s="46" t="str">
        <x:v>AI TaskFit applies across AI types. It is not regulatory approval, certification, legal advice, or a replacement for detailed privacy, security, architecture, impact, model, technology-specific, or sector-specific assessments.</x:v>
      </x:c>
      <x:c r="C16" s="46" t="str">
        <x:v>AI TaskFit applies across AI types. It is not regulatory approval, certification, legal advice, or a replacement for detailed privacy, security, architecture, impact, model, technology-specific, or sector-specific assessments.</x:v>
      </x:c>
      <x:c r="D16" s="46" t="str">
        <x:v>AI TaskFit applies across AI types. It is not regulatory approval, certification, legal advice, or a replacement for detailed privacy, security, architecture, impact, model, technology-specific, or sector-specific assessments.</x:v>
      </x:c>
      <x:c r="E16" s="46" t="str">
        <x:v>AI TaskFit applies across AI types. It is not regulatory approval, certification, legal advice, or a replacement for detailed privacy, security, architecture, impact, model, technology-specific, or sector-specific assessments.</x:v>
      </x:c>
      <x:c r="F16" s="46" t="str">
        <x:v>AI TaskFit applies across AI types. It is not regulatory approval, certification, legal advice, or a replacement for detailed privacy, security, architecture, impact, model, technology-specific, or sector-specific assessments.</x:v>
      </x:c>
    </x:row>
    <x:row r="17">
      <x:c r="A17" s="46" t="str">
        <x:v>AI TaskFit applies across AI types. It is not regulatory approval, certification, legal advice, or a replacement for detailed privacy, security, architecture, impact, model, technology-specific, or sector-specific assessments.</x:v>
      </x:c>
      <x:c r="B17" s="46" t="str">
        <x:v>AI TaskFit applies across AI types. It is not regulatory approval, certification, legal advice, or a replacement for detailed privacy, security, architecture, impact, model, technology-specific, or sector-specific assessments.</x:v>
      </x:c>
      <x:c r="C17" s="46" t="str">
        <x:v>AI TaskFit applies across AI types. It is not regulatory approval, certification, legal advice, or a replacement for detailed privacy, security, architecture, impact, model, technology-specific, or sector-specific assessments.</x:v>
      </x:c>
      <x:c r="D17" s="46" t="str">
        <x:v>AI TaskFit applies across AI types. It is not regulatory approval, certification, legal advice, or a replacement for detailed privacy, security, architecture, impact, model, technology-specific, or sector-specific assessments.</x:v>
      </x:c>
      <x:c r="E17" s="46" t="str">
        <x:v>AI TaskFit applies across AI types. It is not regulatory approval, certification, legal advice, or a replacement for detailed privacy, security, architecture, impact, model, technology-specific, or sector-specific assessments.</x:v>
      </x:c>
      <x:c r="F17" s="46" t="str">
        <x:v>AI TaskFit applies across AI types. It is not regulatory approval, certification, legal advice, or a replacement for detailed privacy, security, architecture, impact, model, technology-specific, or sector-specific assessments.</x:v>
      </x:c>
    </x:row>
  </x:sheetData>
  <x:mergeCells>
    <x:mergeCell ref="A1:F1"/>
    <x:mergeCell ref="A2:F2"/>
    <x:mergeCell ref="A4:F4"/>
    <x:mergeCell ref="A5:F6"/>
    <x:mergeCell ref="A12:F12"/>
    <x:mergeCell ref="A13:F14"/>
    <x:mergeCell ref="A16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46" hidden="0" customWidth="1"/>
    <x:col min="4" max="4" width="14" hidden="0" customWidth="1"/>
  </x:cols>
  <x:sheetData>
    <x:row r="1" ht="34" customHeight="1">
      <x:c r="A1" s="91" t="str">
        <x:v>D1 — DECOMPOSE</x:v>
      </x:c>
      <x:c r="B1" s="91" t="str">
        <x:v>D1 — DECOMPOSE</x:v>
      </x:c>
      <x:c r="C1" s="91" t="str">
        <x:v>D1 — DECOMPOSE</x:v>
      </x:c>
      <x:c r="D1" s="91" t="str">
        <x:v>D1 — DECOMPOSE</x:v>
      </x:c>
    </x:row>
    <x:row r="2" ht="30" customHeight="1">
      <x:c r="A2" s="7" t="str">
        <x:v>Complete one workbook per clearly defined task. Establish context before scoring suitability.</x:v>
      </x:c>
      <x:c r="B2" s="7" t="str">
        <x:v>Complete one workbook per clearly defined task.</x:v>
      </x:c>
      <x:c r="C2" s="7" t="str">
        <x:v>Complete one workbook per clearly defined task.</x:v>
      </x:c>
      <x:c r="D2" s="7" t="str">
        <x:v>Complete one workbook per clearly defined task.</x:v>
      </x:c>
    </x:row>
    <x:row r="3">
      <x:c r="A3" s="92"/>
      <x:c r="B3" s="92"/>
      <x:c r="C3" s="92"/>
      <x:c r="D3" s="92"/>
    </x:row>
    <x:row r="4">
      <x:c r="A4" s="75" t="str">
        <x:v>Field</x:v>
      </x:c>
      <x:c r="B4" s="76" t="str">
        <x:v>Entry</x:v>
      </x:c>
      <x:c r="C4" s="76" t="str">
        <x:v>Guidance</x:v>
      </x:c>
      <x:c r="D4" s="77" t="str">
        <x:v>Required</x:v>
      </x:c>
    </x:row>
    <x:row r="5">
      <x:c r="A5" s="24" t="str">
        <x:v>Assessment ID</x:v>
      </x:c>
      <x:c r="B5" s="56" t="str">
        <x:v>TF-0001</x:v>
      </x:c>
      <x:c r="C5" s="25" t="str">
        <x:v>Stable identifier</x:v>
      </x:c>
      <x:c r="D5" s="26" t="str">
        <x:v>Yes</x:v>
      </x:c>
    </x:row>
    <x:row r="6">
      <x:c r="A6" s="53" t="str">
        <x:v>Business purpose</x:v>
      </x:c>
      <x:c r="B6" s="57"/>
      <x:c r="C6" s="54" t="str">
        <x:v>Why does the task exist, and why is AI being considered?</x:v>
      </x:c>
      <x:c r="D6" s="55" t="str">
        <x:v>Yes</x:v>
      </x:c>
    </x:row>
    <x:row r="7">
      <x:c r="A7" s="53" t="str">
        <x:v>Task name</x:v>
      </x:c>
      <x:c r="B7" s="57"/>
      <x:c r="C7" s="54" t="str">
        <x:v>Use a verb + object; avoid a job title</x:v>
      </x:c>
      <x:c r="D7" s="55" t="str">
        <x:v>Yes</x:v>
      </x:c>
    </x:row>
    <x:row r="8">
      <x:c r="A8" s="53" t="str">
        <x:v>Business process</x:v>
      </x:c>
      <x:c r="B8" s="57"/>
      <x:c r="C8" s="54" t="str">
        <x:v>Parent process</x:v>
      </x:c>
      <x:c r="D8" s="55" t="str">
        <x:v>Yes</x:v>
      </x:c>
    </x:row>
    <x:row r="9">
      <x:c r="A9" s="53" t="str">
        <x:v>Accountable business owner</x:v>
      </x:c>
      <x:c r="B9" s="57"/>
      <x:c r="C9" s="54" t="str">
        <x:v>Person accountable for the business outcome</x:v>
      </x:c>
      <x:c r="D9" s="55" t="str">
        <x:v>Yes</x:v>
      </x:c>
    </x:row>
    <x:row r="10">
      <x:c r="A10" s="53" t="str">
        <x:v>Start trigger</x:v>
      </x:c>
      <x:c r="B10" s="57"/>
      <x:c r="C10" s="54" t="str">
        <x:v>What initiates the task?</x:v>
      </x:c>
      <x:c r="D10" s="55" t="str">
        <x:v>Yes</x:v>
      </x:c>
    </x:row>
    <x:row r="11">
      <x:c r="A11" s="53" t="str">
        <x:v>Inputs</x:v>
      </x:c>
      <x:c r="B11" s="57"/>
      <x:c r="C11" s="54" t="str">
        <x:v>Information, documents, or system events</x:v>
      </x:c>
      <x:c r="D11" s="55" t="str">
        <x:v>Yes</x:v>
      </x:c>
    </x:row>
    <x:row r="12">
      <x:c r="A12" s="53" t="str">
        <x:v>Output</x:v>
      </x:c>
      <x:c r="B12" s="57"/>
      <x:c r="C12" s="54" t="str">
        <x:v>Specific deliverable, recommendation, decision, or action</x:v>
      </x:c>
      <x:c r="D12" s="55" t="str">
        <x:v>Yes</x:v>
      </x:c>
    </x:row>
    <x:row r="13">
      <x:c r="A13" s="53" t="str">
        <x:v>Users</x:v>
      </x:c>
      <x:c r="B13" s="57"/>
      <x:c r="C13" s="54" t="str">
        <x:v>Who directly uses the AI-enabled workflow?</x:v>
      </x:c>
      <x:c r="D13" s="55" t="str">
        <x:v>Yes</x:v>
      </x:c>
    </x:row>
    <x:row r="14">
      <x:c r="A14" s="53" t="str">
        <x:v>Affected parties</x:v>
      </x:c>
      <x:c r="B14" s="57"/>
      <x:c r="C14" s="54" t="str">
        <x:v>Who may benefit, be affected, or be harmed?</x:v>
      </x:c>
      <x:c r="D14" s="55" t="str">
        <x:v>Yes</x:v>
      </x:c>
    </x:row>
    <x:row r="15">
      <x:c r="A15" s="53" t="str">
        <x:v>Data / knowledge dependencies</x:v>
      </x:c>
      <x:c r="B15" s="57"/>
      <x:c r="C15" s="54" t="str">
        <x:v>Data sources, knowledge bases, documents, or repositories required</x:v>
      </x:c>
      <x:c r="D15" s="55" t="str">
        <x:v>Yes</x:v>
      </x:c>
    </x:row>
    <x:row r="16">
      <x:c r="A16" s="53" t="str">
        <x:v>Current human authority</x:v>
      </x:c>
      <x:c r="B16" s="57"/>
      <x:c r="C16" s="54" t="str">
        <x:v>Who currently reviews, decides, or acts?</x:v>
      </x:c>
      <x:c r="D16" s="55" t="str">
        <x:v>Yes</x:v>
      </x:c>
    </x:row>
    <x:row r="17">
      <x:c r="A17" s="53" t="str">
        <x:v>Proposed AI authority</x:v>
      </x:c>
      <x:c r="B17" s="57"/>
      <x:c r="C17" s="54" t="str">
        <x:v>Advise / Assist / Act within approved boundaries</x:v>
      </x:c>
      <x:c r="D17" s="55" t="str">
        <x:v>Yes</x:v>
      </x:c>
    </x:row>
    <x:row r="18">
      <x:c r="A18" s="27" t="str">
        <x:v>Proposed AI capability</x:v>
      </x:c>
      <x:c r="B18" s="58"/>
      <x:c r="C18" s="28" t="str">
        <x:v>Predict, classify, recommend, optimize, generate, detect, or act</x:v>
      </x:c>
      <x:c r="D18" s="29" t="str">
        <x:v>Yes</x:v>
      </x:c>
    </x:row>
    <x:row r="19">
      <x:c r="A19" s="92" t="str">
        <x:v>Potential consequence</x:v>
      </x:c>
      <x:c r="B19" s="92"/>
      <x:c r="C19" s="92" t="str">
        <x:v>What could happen if the AI output or action is wrong?</x:v>
      </x:c>
      <x:c r="D19" s="92" t="str">
        <x:v>Yes</x:v>
      </x:c>
    </x:row>
    <x:row r="20">
      <x:c r="A20" s="92" t="str">
        <x:v>Frequency / scale</x:v>
      </x:c>
      <x:c r="B20" s="92"/>
      <x:c r="C20" s="92" t="str">
        <x:v>Tasks per day/week/month and affected volume</x:v>
      </x:c>
      <x:c r="D20" s="92" t="str">
        <x:v>Yes</x:v>
      </x:c>
    </x:row>
    <x:row r="21">
      <x:c r="A21" s="92" t="str">
        <x:v>Baseline time per task</x:v>
      </x:c>
      <x:c r="B21" s="92"/>
      <x:c r="C21" s="92" t="str">
        <x:v>Minutes or hours</x:v>
      </x:c>
      <x:c r="D21" s="92" t="str">
        <x:v>Yes</x:v>
      </x:c>
    </x:row>
    <x:row r="22">
      <x:c r="A22" s="92" t="str">
        <x:v>Systems involved</x:v>
      </x:c>
      <x:c r="B22" s="92"/>
      <x:c r="C22" s="92" t="str">
        <x:v>Applications, repositories, APIs, or tools</x:v>
      </x:c>
      <x:c r="D22" s="92" t="str">
        <x:v>No</x:v>
      </x:c>
    </x:row>
    <x:row r="23">
      <x:c r="A23" s="92" t="str">
        <x:v>Current pain point</x:v>
      </x:c>
      <x:c r="B23" s="92"/>
      <x:c r="C23" s="92" t="str">
        <x:v>Delay, cost, inconsistency, quality gap, or unmet need</x:v>
      </x:c>
      <x:c r="D23" s="92" t="str">
        <x:v>Yes</x:v>
      </x:c>
    </x:row>
  </x:sheetData>
  <x:mergeCells>
    <x:mergeCell ref="A1:D1"/>
    <x:mergeCell ref="A2:D2"/>
  </x:mergeCells>
  <x:dataValidations count="1">
    <x:dataValidation type="list" sqref="B17">
      <x:formula1>"Advise,Assist,Act within approved boundaries"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2" hidden="0" customWidth="1"/>
    <x:col min="3" max="3" width="12" hidden="0" customWidth="1"/>
    <x:col min="4" max="4" width="36" hidden="0" customWidth="1"/>
    <x:col min="5" max="5" width="52" hidden="0" customWidth="1"/>
  </x:cols>
  <x:sheetData>
    <x:row r="1" ht="34" customHeight="1">
      <x:c r="A1" s="91" t="str">
        <x:v>D2 — DETERMINE</x:v>
      </x:c>
      <x:c r="B1" s="91" t="str">
        <x:v>D2 — DETERMINE</x:v>
      </x:c>
      <x:c r="C1" s="91" t="str">
        <x:v>D2 — DETERMINE</x:v>
      </x:c>
      <x:c r="D1" s="91" t="str">
        <x:v>D2 — DETERMINE</x:v>
      </x:c>
      <x:c r="E1" s="91" t="str">
        <x:v>D2 — DETERMINE</x:v>
      </x:c>
    </x:row>
    <x:row r="2" ht="30" customHeight="1">
      <x:c r="A2" s="7" t="str">
        <x:v>Score each criterion from 1 (very low) to 5 (very high), and document evidence. Opportunity indicates promise; it does not determine acceptable risk.</x:v>
      </x:c>
      <x:c r="B2" s="7" t="str">
        <x:v>Score each criterion from 1 (very low) to 5 (very high), and document evidence.</x:v>
      </x:c>
      <x:c r="C2" s="7" t="str">
        <x:v>Score each criterion from 1 (very low) to 5 (very high), and document evidence.</x:v>
      </x:c>
      <x:c r="D2" s="7" t="str">
        <x:v>Score each criterion from 1 (very low) to 5 (very high), and document evidence.</x:v>
      </x:c>
      <x:c r="E2" s="7" t="str">
        <x:v>Score each criterion from 1 (very low) to 5 (very high), and document evidence.</x:v>
      </x:c>
    </x:row>
    <x:row r="3">
      <x:c r="A3" s="92"/>
      <x:c r="B3" s="92"/>
      <x:c r="C3" s="92"/>
      <x:c r="D3" s="92"/>
      <x:c r="E3" s="92"/>
    </x:row>
    <x:row r="4">
      <x:c r="A4" s="75" t="str">
        <x:v>Dimension</x:v>
      </x:c>
      <x:c r="B4" s="76" t="str">
        <x:v>Criterion</x:v>
      </x:c>
      <x:c r="C4" s="76" t="str">
        <x:v>Score 1–5</x:v>
      </x:c>
      <x:c r="D4" s="76" t="str">
        <x:v>Evidence / rationale</x:v>
      </x:c>
      <x:c r="E4" s="77" t="str">
        <x:v>Scoring anchor</x:v>
      </x:c>
    </x:row>
    <x:row r="5">
      <x:c r="A5" s="24" t="str">
        <x:v>AI Fit</x:v>
      </x:c>
      <x:c r="B5" s="25" t="str">
        <x:v>Task-to-AI capability match</x:v>
      </x:c>
      <x:c r="C5" s="25" t="n">
        <x:v>1</x:v>
      </x:c>
      <x:c r="D5" s="25" t="str"/>
      <x:c r="E5" s="26" t="str">
        <x:v>5 = a proven AI capability directly fits the task</x:v>
      </x:c>
    </x:row>
    <x:row r="6">
      <x:c r="A6" s="53" t="str">
        <x:v>AI Fit</x:v>
      </x:c>
      <x:c r="B6" s="54" t="str">
        <x:v>Pattern and data suitability</x:v>
      </x:c>
      <x:c r="C6" s="54" t="n">
        <x:v>1</x:v>
      </x:c>
      <x:c r="D6" s="54" t="str"/>
      <x:c r="E6" s="55" t="str">
        <x:v>5 = learnable patterns and suitable data are available</x:v>
      </x:c>
    </x:row>
    <x:row r="7">
      <x:c r="A7" s="53" t="str">
        <x:v>AI Fit</x:v>
      </x:c>
      <x:c r="B7" s="54" t="str">
        <x:v>Output verifiability</x:v>
      </x:c>
      <x:c r="C7" s="54" t="n">
        <x:v>1</x:v>
      </x:c>
      <x:c r="D7" s="54" t="str"/>
      <x:c r="E7" s="55" t="str">
        <x:v>5 = output can be checked quickly and objectively</x:v>
      </x:c>
    </x:row>
    <x:row r="8">
      <x:c r="A8" s="53" t="str">
        <x:v>AI Fit</x:v>
      </x:c>
      <x:c r="B8" s="54" t="str">
        <x:v>Context and data availability</x:v>
      </x:c>
      <x:c r="C8" s="54" t="n">
        <x:v>1</x:v>
      </x:c>
      <x:c r="D8" s="54" t="str"/>
      <x:c r="E8" s="55" t="str">
        <x:v>5 = required context and data are complete and accessible</x:v>
      </x:c>
    </x:row>
    <x:row r="9">
      <x:c r="A9" s="53" t="str">
        <x:v>Business Value</x:v>
      </x:c>
      <x:c r="B9" s="54" t="str">
        <x:v>Time or cost reduction</x:v>
      </x:c>
      <x:c r="C9" s="54" t="n">
        <x:v>1</x:v>
      </x:c>
      <x:c r="D9" s="54" t="str"/>
      <x:c r="E9" s="55" t="str">
        <x:v>5 = material, evidenced reduction</x:v>
      </x:c>
    </x:row>
    <x:row r="10">
      <x:c r="A10" s="53" t="str">
        <x:v>Business Value</x:v>
      </x:c>
      <x:c r="B10" s="54" t="str">
        <x:v>Quality or consistency improvement</x:v>
      </x:c>
      <x:c r="C10" s="54" t="n">
        <x:v>1</x:v>
      </x:c>
      <x:c r="D10" s="54" t="str"/>
      <x:c r="E10" s="55" t="str">
        <x:v>5 = material and measurable improvement</x:v>
      </x:c>
    </x:row>
    <x:row r="11">
      <x:c r="A11" s="53" t="str">
        <x:v>Business Value</x:v>
      </x:c>
      <x:c r="B11" s="54" t="str">
        <x:v>Frequency and scale</x:v>
      </x:c>
      <x:c r="C11" s="54" t="n">
        <x:v>1</x:v>
      </x:c>
      <x:c r="D11" s="54" t="str"/>
      <x:c r="E11" s="55" t="str">
        <x:v>5 = very frequent or high-volume task</x:v>
      </x:c>
    </x:row>
    <x:row r="12">
      <x:c r="A12" s="53" t="str">
        <x:v>Business Value</x:v>
      </x:c>
      <x:c r="B12" s="54" t="str">
        <x:v>Strategic relevance</x:v>
      </x:c>
      <x:c r="C12" s="54" t="n">
        <x:v>1</x:v>
      </x:c>
      <x:c r="D12" s="54" t="str"/>
      <x:c r="E12" s="55" t="str">
        <x:v>5 = directly supports a strategic priority</x:v>
      </x:c>
    </x:row>
    <x:row r="13">
      <x:c r="A13" s="53" t="str">
        <x:v>Readiness</x:v>
      </x:c>
      <x:c r="B13" s="54" t="str">
        <x:v>Data and knowledge readiness</x:v>
      </x:c>
      <x:c r="C13" s="54" t="n">
        <x:v>1</x:v>
      </x:c>
      <x:c r="D13" s="54" t="str"/>
      <x:c r="E13" s="55" t="str">
        <x:v>5 = approved, sufficient, representative sources</x:v>
      </x:c>
    </x:row>
    <x:row r="14">
      <x:c r="A14" s="53" t="str">
        <x:v>Readiness</x:v>
      </x:c>
      <x:c r="B14" s="54" t="str">
        <x:v>Technical integration readiness</x:v>
      </x:c>
      <x:c r="C14" s="54" t="n">
        <x:v>1</x:v>
      </x:c>
      <x:c r="D14" s="54" t="str"/>
      <x:c r="E14" s="55" t="str">
        <x:v>5 = approved integrations and environment ready</x:v>
      </x:c>
    </x:row>
    <x:row r="15">
      <x:c r="A15" s="53" t="str">
        <x:v>Readiness</x:v>
      </x:c>
      <x:c r="B15" s="54" t="str">
        <x:v>Process and ownership readiness</x:v>
      </x:c>
      <x:c r="C15" s="54" t="n">
        <x:v>1</x:v>
      </x:c>
      <x:c r="D15" s="54" t="str"/>
      <x:c r="E15" s="55" t="str">
        <x:v>5 = clear process, owner, and escalation path</x:v>
      </x:c>
    </x:row>
    <x:row r="16">
      <x:c r="A16" s="27" t="str">
        <x:v>Readiness</x:v>
      </x:c>
      <x:c r="B16" s="28" t="str">
        <x:v>User adoption readiness</x:v>
      </x:c>
      <x:c r="C16" s="28" t="n">
        <x:v>1</x:v>
      </x:c>
      <x:c r="D16" s="28" t="str"/>
      <x:c r="E16" s="29" t="str">
        <x:v>5 = trained users and accepted workflow</x:v>
      </x:c>
    </x:row>
    <x:row r="17">
      <x:c r="A17" s="92"/>
      <x:c r="B17" s="92"/>
      <x:c r="C17" s="92"/>
      <x:c r="D17" s="92"/>
      <x:c r="E17" s="92"/>
    </x:row>
    <x:row r="18">
      <x:c r="A18" s="75" t="str">
        <x:v>Summary</x:v>
      </x:c>
      <x:c r="B18" s="77" t="str">
        <x:v>Calculated value</x:v>
      </x:c>
      <x:c r="C18" s="92"/>
      <x:c r="D18" s="75" t="str">
        <x:v>Opportunity</x:v>
      </x:c>
      <x:c r="E18" s="77" t="str">
        <x:v>Result</x:v>
      </x:c>
    </x:row>
    <x:row r="19">
      <x:c r="A19" s="24" t="str">
        <x:v>AI Fit</x:v>
      </x:c>
      <x:c r="B19" s="59" t="n">
        <x:f>AVERAGE(C5:C8)</x:f>
        <x:v>1</x:v>
      </x:c>
      <x:c r="C19" s="92"/>
      <x:c r="D19" s="24" t="str">
        <x:v>Opportunity Score</x:v>
      </x:c>
      <x:c r="E19" s="59" t="n">
        <x:f>AVERAGE(B19:B21)</x:f>
        <x:v>1</x:v>
      </x:c>
    </x:row>
    <x:row r="20">
      <x:c r="A20" s="53" t="str">
        <x:v>Business Value</x:v>
      </x:c>
      <x:c r="B20" s="60" t="n">
        <x:f>AVERAGE(C9:C12)</x:f>
        <x:v>1</x:v>
      </x:c>
      <x:c r="C20" s="92"/>
      <x:c r="D20" s="53" t="str">
        <x:v>Opportunity Band</x:v>
      </x:c>
      <x:c r="E20" s="55" t="str">
        <x:f>IF(E19&gt;=4,"High",IF(E19&gt;=3,"Medium","Low"))</x:f>
        <x:v>Low</x:v>
      </x:c>
    </x:row>
    <x:row r="21">
      <x:c r="A21" s="27" t="str">
        <x:v>Readiness</x:v>
      </x:c>
      <x:c r="B21" s="61" t="n">
        <x:f>AVERAGE(C13:C16)</x:f>
        <x:v>1</x:v>
      </x:c>
      <x:c r="C21" s="92"/>
      <x:c r="D21" s="27" t="str">
        <x:v>Rule</x:v>
      </x:c>
      <x:c r="E21" s="29" t="str">
        <x:v>Opportunity score is not a risk-acceptance decision</x:v>
      </x:c>
    </x:row>
  </x:sheetData>
  <x:mergeCells>
    <x:mergeCell ref="A1:E1"/>
    <x:mergeCell ref="A2:E2"/>
  </x:mergeCells>
  <x:dataValidations count="1">
    <x:dataValidation type="whole" operator="between" sqref="C5:C16">
      <x:formula1>1</x:formula1>
      <x:formula2>5</x:formula2>
    </x:dataValidation>
  </x:dataValidations>
  <x:pageMargins left="0.7" right="0.7" top="0.75" bottom="0.75" header="0.3" footer="0.3"/>
  <x:legacyDrawing xmlns:r="http://schemas.openxmlformats.org/officeDocument/2006/relationships" r:id="R30ec520210fd4d9b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2" hidden="0" customWidth="1"/>
    <x:col min="3" max="3" width="34" hidden="0" customWidth="1"/>
    <x:col min="4" max="4" width="30" hidden="0" customWidth="1"/>
    <x:col min="5" max="5" width="54" hidden="0" customWidth="1"/>
    <x:col min="6" max="6" width="26" hidden="0" customWidth="1"/>
  </x:cols>
  <x:sheetData>
    <x:row r="1" ht="34" customHeight="1">
      <x:c r="A1" s="91" t="str">
        <x:v>D3 — DETECT</x:v>
      </x:c>
      <x:c r="B1" s="91" t="str">
        <x:v>D3 — DETECT</x:v>
      </x:c>
      <x:c r="C1" s="91" t="str">
        <x:v>D3 — DETECT</x:v>
      </x:c>
      <x:c r="D1" s="91" t="str">
        <x:v>D3 — DETECT</x:v>
      </x:c>
      <x:c r="E1" s="91" t="str">
        <x:v>D3 — DETECT</x:v>
      </x:c>
      <x:c r="F1" s="91"/>
    </x:row>
    <x:row r="2" ht="30" customHeight="1">
      <x:c r="A2" s="7" t="str">
        <x:v>Score 1 (limited) to 5 (critical). The highest material domain controls initial risk routing. Assign ownership for each material risk.</x:v>
      </x:c>
      <x:c r="B2" s="7" t="str">
        <x:v>Score 1 (limited) to 5 (critical). The highest material domain controls routing.</x:v>
      </x:c>
      <x:c r="C2" s="7" t="str">
        <x:v>Score 1 (limited) to 5 (critical). The highest material domain controls routing.</x:v>
      </x:c>
      <x:c r="D2" s="7" t="str">
        <x:v>Score 1 (limited) to 5 (critical). The highest material domain controls routing.</x:v>
      </x:c>
      <x:c r="E2" s="7" t="str">
        <x:v>Score 1 (limited) to 5 (critical). The highest material domain controls routing.</x:v>
      </x:c>
      <x:c r="F2" s="92"/>
    </x:row>
    <x:row r="3">
      <x:c r="A3" s="92"/>
      <x:c r="B3" s="92"/>
      <x:c r="C3" s="92"/>
      <x:c r="D3" s="92"/>
      <x:c r="E3" s="92"/>
      <x:c r="F3" s="92"/>
    </x:row>
    <x:row r="4">
      <x:c r="A4" s="75" t="str">
        <x:v>Risk domain</x:v>
      </x:c>
      <x:c r="B4" s="76" t="str">
        <x:v>Score 1–5</x:v>
      </x:c>
      <x:c r="C4" s="76" t="str">
        <x:v>Evidence / rationale</x:v>
      </x:c>
      <x:c r="D4" s="76" t="str">
        <x:v>Existing safeguards</x:v>
      </x:c>
      <x:c r="E4" s="77" t="str">
        <x:v>Assessment question</x:v>
      </x:c>
      <x:c r="F4" s="81" t="str">
        <x:v>Risk owner</x:v>
      </x:c>
    </x:row>
    <x:row r="5">
      <x:c r="A5" s="24" t="str">
        <x:v>Data sensitivity</x:v>
      </x:c>
      <x:c r="B5" s="25" t="n">
        <x:v>1</x:v>
      </x:c>
      <x:c r="C5" s="25"/>
      <x:c r="D5" s="25"/>
      <x:c r="E5" s="26" t="str">
        <x:v>Does the task use personal, confidential, restricted, or sensitive data?</x:v>
      </x:c>
      <x:c r="F5" s="92"/>
    </x:row>
    <x:row r="6">
      <x:c r="A6" s="53" t="str">
        <x:v>Impact on individuals or rights</x:v>
      </x:c>
      <x:c r="B6" s="54" t="n">
        <x:v>1</x:v>
      </x:c>
      <x:c r="C6" s="54"/>
      <x:c r="D6" s="54"/>
      <x:c r="E6" s="55" t="str">
        <x:v>Can it affect access, opportunity, treatment, rights, or material outcomes?</x:v>
      </x:c>
      <x:c r="F6" s="92"/>
    </x:row>
    <x:row r="7">
      <x:c r="A7" s="53" t="str">
        <x:v>Consequence of error</x:v>
      </x:c>
      <x:c r="B7" s="54" t="n">
        <x:v>1</x:v>
      </x:c>
      <x:c r="C7" s="54"/>
      <x:c r="D7" s="54"/>
      <x:c r="E7" s="55" t="str">
        <x:v>How serious and reversible would an incorrect output or action be?</x:v>
      </x:c>
      <x:c r="F7" s="92"/>
    </x:row>
    <x:row r="8">
      <x:c r="A8" s="53" t="str">
        <x:v>Legal or regulatory significance</x:v>
      </x:c>
      <x:c r="B8" s="54" t="n">
        <x:v>1</x:v>
      </x:c>
      <x:c r="C8" s="54"/>
      <x:c r="D8" s="54"/>
      <x:c r="E8" s="55" t="str">
        <x:v>Does it support a regulated, legally significant, or mandatory decision?</x:v>
      </x:c>
      <x:c r="F8" s="92"/>
    </x:row>
    <x:row r="9">
      <x:c r="A9" s="53" t="str">
        <x:v>Security and misuse exposure</x:v>
      </x:c>
      <x:c r="B9" s="54" t="n">
        <x:v>1</x:v>
      </x:c>
      <x:c r="C9" s="54"/>
      <x:c r="D9" s="54"/>
      <x:c r="E9" s="55" t="str">
        <x:v>Could compromise, misuse, prompt/tool abuse, or unauthorized action create material harm?</x:v>
      </x:c>
      <x:c r="F9" s="92"/>
    </x:row>
    <x:row r="10">
      <x:c r="A10" s="27" t="str">
        <x:v>Explainability and contestability</x:v>
      </x:c>
      <x:c r="B10" s="28" t="n">
        <x:v>1</x:v>
      </x:c>
      <x:c r="C10" s="28"/>
      <x:c r="D10" s="28"/>
      <x:c r="E10" s="29" t="str">
        <x:v>Must an affected person understand, challenge, or obtain review of the result?</x:v>
      </x:c>
      <x:c r="F10" s="92"/>
    </x:row>
    <x:row r="11">
      <x:c r="A11" s="92"/>
      <x:c r="B11" s="92"/>
      <x:c r="C11" s="92"/>
      <x:c r="D11" s="92"/>
      <x:c r="E11" s="92"/>
      <x:c r="F11" s="92"/>
    </x:row>
    <x:row r="12">
      <x:c r="A12" s="75" t="str">
        <x:v>Risk result</x:v>
      </x:c>
      <x:c r="B12" s="77" t="str">
        <x:v>Calculated value</x:v>
      </x:c>
      <x:c r="C12" s="92"/>
      <x:c r="D12" s="75" t="str">
        <x:v>Mandatory escalation screen</x:v>
      </x:c>
      <x:c r="E12" s="77" t="str">
        <x:v>Answer</x:v>
      </x:c>
      <x:c r="F12" s="92"/>
    </x:row>
    <x:row r="13">
      <x:c r="A13" s="24" t="str">
        <x:v>Highest domain score</x:v>
      </x:c>
      <x:c r="B13" s="26" t="n">
        <x:f>MAX(B5:B10)</x:f>
        <x:v>1</x:v>
      </x:c>
      <x:c r="C13" s="92"/>
      <x:c r="D13" s="24" t="str">
        <x:v>High-impact decision or rights effect?</x:v>
      </x:c>
      <x:c r="E13" s="26" t="str">
        <x:v>No</x:v>
      </x:c>
      <x:c r="F13" s="92"/>
    </x:row>
    <x:row r="14">
      <x:c r="A14" s="53" t="str">
        <x:v>Initial risk band</x:v>
      </x:c>
      <x:c r="B14" s="55" t="str">
        <x:f>IF(B13&gt;=4,"High",IF(B13=3,"Medium","Low"))</x:f>
        <x:v>Low</x:v>
      </x:c>
      <x:c r="C14" s="92"/>
      <x:c r="D14" s="53" t="str">
        <x:v>Sensitive/highly restricted data?</x:v>
      </x:c>
      <x:c r="E14" s="55" t="str">
        <x:v>No</x:v>
      </x:c>
      <x:c r="F14" s="92"/>
    </x:row>
    <x:row r="15">
      <x:c r="A15" s="27" t="str">
        <x:v>Rule</x:v>
      </x:c>
      <x:c r="B15" s="29" t="str">
        <x:v>Highest material risk; not average</x:v>
      </x:c>
      <x:c r="C15" s="92"/>
      <x:c r="D15" s="27" t="str">
        <x:v>Autonomous or irreversible external action?</x:v>
      </x:c>
      <x:c r="E15" s="29" t="str">
        <x:v>No</x:v>
      </x:c>
      <x:c r="F15" s="92"/>
    </x:row>
    <x:row r="16">
      <x:c r="A16" s="92"/>
      <x:c r="B16" s="92"/>
      <x:c r="C16" s="92"/>
      <x:c r="D16" s="92" t="str">
        <x:v>Increase in AI decision/action authority?</x:v>
      </x:c>
      <x:c r="E16" s="92" t="str">
        <x:v>No</x:v>
      </x:c>
      <x:c r="F16" s="92"/>
    </x:row>
    <x:row r="17">
      <x:c r="A17" s="92"/>
      <x:c r="B17" s="92"/>
      <x:c r="C17" s="92"/>
      <x:c r="D17" s="92" t="str">
        <x:v>Mandatory legal/regulatory/organizational boundary?</x:v>
      </x:c>
      <x:c r="E17" s="92" t="str">
        <x:v>No</x:v>
      </x:c>
      <x:c r="F17" s="92"/>
    </x:row>
    <x:row r="18">
      <x:c r="A18" s="92"/>
      <x:c r="B18" s="92"/>
      <x:c r="C18" s="92"/>
      <x:c r="D18" s="92"/>
      <x:c r="E18" s="92"/>
      <x:c r="F18" s="92"/>
    </x:row>
    <x:row r="19">
      <x:c r="A19" s="92"/>
      <x:c r="B19" s="92"/>
      <x:c r="C19" s="92"/>
      <x:c r="D19" s="81" t="str">
        <x:v>Ownership rule</x:v>
      </x:c>
      <x:c r="E19" s="81" t="str">
        <x:v>Meaning</x:v>
      </x:c>
      <x:c r="F19" s="92"/>
    </x:row>
    <x:row r="20">
      <x:c r="A20" s="92"/>
      <x:c r="B20" s="92"/>
      <x:c r="C20" s="92"/>
      <x:c r="D20" s="92" t="str">
        <x:v>Risk Owner ≠ Acceptance Authority</x:v>
      </x:c>
      <x:c r="E20" s="92" t="str">
        <x:v>Owning or treating a risk does not automatically authorize acceptance of residual risk.</x:v>
      </x:c>
      <x:c r="F20" s="92"/>
    </x:row>
  </x:sheetData>
  <x:mergeCells>
    <x:mergeCell ref="A1:E1"/>
    <x:mergeCell ref="A2:E2"/>
  </x:mergeCells>
  <x:dataValidations count="3">
    <x:dataValidation type="list" sqref="B5:B10">
      <x:formula1>"1,2,3,4,5"</x:formula1>
    </x:dataValidation>
    <x:dataValidation type="list" sqref="E13:E15">
      <x:formula1>"No,Yes"</x:formula1>
    </x:dataValidation>
    <x:dataValidation type="list" sqref="E13:E17">
      <x:formula1>"No,Yes"</x:formula1>
    </x:dataValidation>
  </x:dataValidations>
  <x:pageMargins left="0.7" right="0.7" top="0.75" bottom="0.75" header="0.3" footer="0.3"/>
  <x:legacyDrawing xmlns:r="http://schemas.openxmlformats.org/officeDocument/2006/relationships" r:id="R805244acdc3a47d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32" hidden="0" customWidth="1"/>
    <x:col min="3" max="3" width="30" hidden="0" customWidth="1"/>
    <x:col min="4" max="4" width="30" hidden="0" customWidth="1"/>
    <x:col min="5" max="5" width="36" hidden="0" customWidth="1"/>
    <x:col min="6" max="6" width="30" hidden="0" customWidth="1"/>
  </x:cols>
  <x:sheetData>
    <x:row r="1" ht="34" customHeight="1">
      <x:c r="A1" s="91" t="str">
        <x:v>D4 — DECIDE</x:v>
      </x:c>
      <x:c r="B1" s="91" t="str">
        <x:v>D4 — DECIDE</x:v>
      </x:c>
      <x:c r="C1" s="91" t="str">
        <x:v>D4 — DECIDE</x:v>
      </x:c>
      <x:c r="D1" s="91" t="str">
        <x:v>D4 — DECIDE</x:v>
      </x:c>
      <x:c r="E1" s="91" t="str">
        <x:v>D4 — DECIDE</x:v>
      </x:c>
      <x:c r="F1" s="91" t="str">
        <x:v>D4 — DECIDE</x:v>
      </x:c>
    </x:row>
    <x:row r="2" ht="30" customHeight="1">
      <x:c r="A2" s="7" t="str">
        <x:v>Opportunity sets priority. Risk sets authority and governance depth. Capability does not automatically grant authority.</x:v>
      </x:c>
      <x:c r="B2" s="7" t="str">
        <x:v>Opportunity sets priority. Risk sets authority and governance depth.</x:v>
      </x:c>
      <x:c r="C2" s="7" t="str">
        <x:v>Opportunity sets priority. Risk sets authority and governance depth.</x:v>
      </x:c>
      <x:c r="D2" s="7" t="str">
        <x:v>Opportunity sets priority. Risk sets authority and governance depth.</x:v>
      </x:c>
      <x:c r="E2" s="7" t="str">
        <x:v>Opportunity sets priority. Risk sets authority and governance depth.</x:v>
      </x:c>
      <x:c r="F2" s="7" t="str">
        <x:v>Opportunity sets priority. Risk sets authority and governance depth.</x:v>
      </x:c>
    </x:row>
    <x:row r="3">
      <x:c r="A3" s="92"/>
      <x:c r="B3" s="92"/>
      <x:c r="C3" s="92"/>
      <x:c r="D3" s="92"/>
      <x:c r="E3" s="92"/>
      <x:c r="F3" s="92"/>
    </x:row>
    <x:row r="4">
      <x:c r="A4" s="75" t="str">
        <x:v>Linked result</x:v>
      </x:c>
      <x:c r="B4" s="77" t="str">
        <x:v>Value</x:v>
      </x:c>
      <x:c r="C4" s="92"/>
      <x:c r="D4" s="75" t="str">
        <x:v>Governance route</x:v>
      </x:c>
      <x:c r="E4" s="77" t="str">
        <x:v>Calculated result</x:v>
      </x:c>
      <x:c r="F4" s="92"/>
    </x:row>
    <x:row r="5">
      <x:c r="A5" s="24" t="str">
        <x:v>Opportunity Score</x:v>
      </x:c>
      <x:c r="B5" s="26" t="n">
        <x:f>'OPPORTUNITY'!E19</x:f>
        <x:v>1</x:v>
      </x:c>
      <x:c r="C5" s="92"/>
      <x:c r="D5" s="24" t="str">
        <x:v>Usage mode</x:v>
      </x:c>
      <x:c r="E5" s="26" t="str">
        <x:f>IF(B6="Low","Avoid / Defer",IF(B8="High","Advise",IF(B8="Medium","Assist","Automate candidate")))</x:f>
        <x:v>Avoid / Defer</x:v>
      </x:c>
      <x:c r="F5" s="92"/>
    </x:row>
    <x:row r="6">
      <x:c r="A6" s="53" t="str">
        <x:v>Opportunity Band</x:v>
      </x:c>
      <x:c r="B6" s="55" t="str">
        <x:f>'OPPORTUNITY'!E20</x:f>
        <x:v>Low</x:v>
      </x:c>
      <x:c r="C6" s="92"/>
      <x:c r="D6" s="53" t="str">
        <x:v>Gate 1 decision</x:v>
      </x:c>
      <x:c r="E6" s="55" t="str">
        <x:f>IF(B6="Low","Defer or Reject",IF(B8="High","Extended Assessment Required",IF(B8="Medium","Proceed with Conditions","Proceed")))</x:f>
        <x:v>Defer or Reject</x:v>
      </x:c>
      <x:c r="F6" s="92"/>
    </x:row>
    <x:row r="7">
      <x:c r="A7" s="53" t="str">
        <x:v>Initial Risk Score</x:v>
      </x:c>
      <x:c r="B7" s="55" t="n">
        <x:f>'RISK'!B13</x:f>
        <x:v>1</x:v>
      </x:c>
      <x:c r="C7" s="92"/>
      <x:c r="D7" s="53" t="str">
        <x:v>Detailed assessment</x:v>
      </x:c>
      <x:c r="E7" s="55" t="str">
        <x:f>IF(OR(B8="High",'RISK'!E13="Yes",'RISK'!E14="Yes",'RISK'!E15="Yes",'RISK'!E16="Yes",'RISK'!E17="Yes"),"Required","Per organizational policy")</x:f>
        <x:v>Per organizational policy</x:v>
      </x:c>
      <x:c r="F7" s="92"/>
    </x:row>
    <x:row r="8">
      <x:c r="A8" s="27" t="str">
        <x:v>Initial Risk Band</x:v>
      </x:c>
      <x:c r="B8" s="29" t="str">
        <x:f>'RISK'!B14</x:f>
        <x:v>Low</x:v>
      </x:c>
      <x:c r="C8" s="92"/>
      <x:c r="D8" s="27" t="str">
        <x:v>Human review</x:v>
      </x:c>
      <x:c r="E8" s="29" t="str">
        <x:f>IF(E5="Automate candidate","Exceptions, boundaries and monitoring",IF(E5="Assist","Mandatory before operational effect",IF(E5="Advise","Human independently decides","Not applicable")))</x:f>
        <x:v>Not applicable</x:v>
      </x:c>
      <x:c r="F8" s="92"/>
    </x:row>
    <x:row r="9">
      <x:c r="A9" s="92" t="str">
        <x:v>Proposed AI Authority</x:v>
      </x:c>
      <x:c r="B9" s="92" t="str">
        <x:f>IF('TASK'!B17="","",'TASK'!B17)</x:f>
      </x:c>
      <x:c r="C9" s="92"/>
      <x:c r="D9" s="92"/>
      <x:c r="E9" s="92"/>
      <x:c r="F9" s="92"/>
    </x:row>
    <x:row r="10">
      <x:c r="A10" s="75" t="str">
        <x:v>Mode</x:v>
      </x:c>
      <x:c r="B10" s="76" t="str">
        <x:v>Permitted role</x:v>
      </x:c>
      <x:c r="C10" s="76" t="str">
        <x:v>Human authority</x:v>
      </x:c>
      <x:c r="D10" s="76" t="str">
        <x:v>Typical condition</x:v>
      </x:c>
      <x:c r="E10" s="76" t="str">
        <x:v>Not allowed</x:v>
      </x:c>
      <x:c r="F10" s="77" t="str">
        <x:v>Default governance</x:v>
      </x:c>
    </x:row>
    <x:row r="11">
      <x:c r="A11" s="24" t="str">
        <x:v>Automate</x:v>
      </x:c>
      <x:c r="B11" s="25" t="str">
        <x:v>Complete bounded task</x:v>
      </x:c>
      <x:c r="C11" s="25" t="str">
        <x:v>Owns policy, boundaries and exceptions</x:v>
      </x:c>
      <x:c r="D11" s="25" t="str">
        <x:v>Low initial risk; validated controls</x:v>
      </x:c>
      <x:c r="E11" s="25" t="str">
        <x:v>Unapproved scope or authority expansion</x:v>
      </x:c>
      <x:c r="F11" s="26" t="str">
        <x:v>Proceed with controls</x:v>
      </x:c>
    </x:row>
    <x:row r="12">
      <x:c r="A12" s="53" t="str">
        <x:v>Assist</x:v>
      </x:c>
      <x:c r="B12" s="54" t="str">
        <x:v>Prepare output for review</x:v>
      </x:c>
      <x:c r="C12" s="54" t="str">
        <x:v>Must approve before operational effect</x:v>
      </x:c>
      <x:c r="D12" s="54" t="str">
        <x:v>Medium risk or uncertainty</x:v>
      </x:c>
      <x:c r="E12" s="54" t="str">
        <x:v>Bypassing mandatory review</x:v>
      </x:c>
      <x:c r="F12" s="55" t="str">
        <x:v>Proceed with conditions</x:v>
      </x:c>
    </x:row>
    <x:row r="13">
      <x:c r="A13" s="53" t="str">
        <x:v>Advise</x:v>
      </x:c>
      <x:c r="B13" s="54" t="str">
        <x:v>Provide information, analysis or draft</x:v>
      </x:c>
      <x:c r="C13" s="54" t="str">
        <x:v>Independently decides</x:v>
      </x:c>
      <x:c r="D13" s="54" t="str">
        <x:v>High impact or risk</x:v>
      </x:c>
      <x:c r="E13" s="54" t="str">
        <x:v>Autonomous consequential decision</x:v>
      </x:c>
      <x:c r="F13" s="55" t="str">
        <x:v>Detailed assessment required</x:v>
      </x:c>
    </x:row>
    <x:row r="14">
      <x:c r="A14" s="27" t="str">
        <x:v>Avoid / Defer</x:v>
      </x:c>
      <x:c r="B14" s="28" t="str">
        <x:v>No operational use</x:v>
      </x:c>
      <x:c r="C14" s="28" t="str">
        <x:v>Retains current process</x:v>
      </x:c>
      <x:c r="D14" s="28" t="str">
        <x:v>Low value/readiness or unacceptable risk</x:v>
      </x:c>
      <x:c r="E14" s="28" t="str">
        <x:v>Pilot without prerequisites</x:v>
      </x:c>
      <x:c r="F14" s="29" t="str">
        <x:v>Defer or reject</x:v>
      </x:c>
    </x:row>
    <x:row r="15">
      <x:c r="A15" s="92"/>
      <x:c r="B15" s="92"/>
      <x:c r="C15" s="92"/>
      <x:c r="D15" s="92"/>
      <x:c r="E15" s="92"/>
      <x:c r="F15" s="92"/>
    </x:row>
    <x:row r="16">
      <x:c r="A16" s="75" t="str">
        <x:v>Gate 1 Accountability Record</x:v>
      </x:c>
      <x:c r="B16" s="77" t="str">
        <x:v>Entry</x:v>
      </x:c>
      <x:c r="C16" s="92"/>
      <x:c r="D16" s="92"/>
      <x:c r="E16" s="92"/>
      <x:c r="F16" s="92"/>
    </x:row>
    <x:row r="17">
      <x:c r="A17" s="24" t="str">
        <x:v>Accountable business owner</x:v>
      </x:c>
      <x:c r="B17" s="26"/>
      <x:c r="C17" s="92"/>
      <x:c r="D17" s="92"/>
      <x:c r="E17" s="92"/>
      <x:c r="F17" s="92"/>
    </x:row>
    <x:row r="18">
      <x:c r="A18" s="53" t="str">
        <x:v>Governance reviewer</x:v>
      </x:c>
      <x:c r="B18" s="55"/>
      <x:c r="C18" s="92"/>
      <x:c r="D18" s="92"/>
      <x:c r="E18" s="92"/>
      <x:c r="F18" s="92"/>
    </x:row>
    <x:row r="19">
      <x:c r="A19" s="53" t="str">
        <x:v>Risk owner(s)</x:v>
      </x:c>
      <x:c r="B19" s="55"/>
      <x:c r="C19" s="92"/>
      <x:c r="D19" s="92"/>
      <x:c r="E19" s="92"/>
      <x:c r="F19" s="92"/>
    </x:row>
    <x:row r="20">
      <x:c r="A20" s="27" t="str">
        <x:v>Proposed AI authority</x:v>
      </x:c>
      <x:c r="B20" s="29" t="str">
        <x:f>IF(B9="","",B9)</x:f>
      </x:c>
      <x:c r="C20" s="92"/>
      <x:c r="D20" s="92"/>
      <x:c r="E20" s="92"/>
      <x:c r="F20" s="92"/>
    </x:row>
    <x:row r="21">
      <x:c r="A21" s="92" t="str">
        <x:v>Approved usage mode</x:v>
      </x:c>
      <x:c r="B21" s="92" t="str">
        <x:f>E5</x:f>
        <x:v>Avoid / Defer</x:v>
      </x:c>
      <x:c r="C21" s="92"/>
      <x:c r="D21" s="92"/>
      <x:c r="E21" s="92"/>
      <x:c r="F21" s="92"/>
    </x:row>
    <x:row r="22">
      <x:c r="A22" s="92" t="str">
        <x:v>Detailed assessment required?</x:v>
      </x:c>
      <x:c r="B22" s="92" t="str">
        <x:f>E7</x:f>
        <x:v>Per organizational policy</x:v>
      </x:c>
      <x:c r="C22" s="92"/>
      <x:c r="D22" s="92"/>
      <x:c r="E22" s="92"/>
      <x:c r="F22" s="92"/>
    </x:row>
    <x:row r="23">
      <x:c r="A23" s="92" t="str">
        <x:v>Gate 1 route / decision</x:v>
      </x:c>
      <x:c r="B23" s="92" t="str">
        <x:f>E6</x:f>
        <x:v>Defer or Reject</x:v>
      </x:c>
      <x:c r="C23" s="92"/>
      <x:c r="D23" s="92"/>
      <x:c r="E23" s="92"/>
      <x:c r="F23" s="92"/>
    </x:row>
    <x:row r="24">
      <x:c r="A24" s="92" t="str">
        <x:v>Required conditions before pilot</x:v>
      </x:c>
      <x:c r="B24" s="92"/>
      <x:c r="C24" s="92"/>
      <x:c r="D24" s="92"/>
      <x:c r="E24" s="92"/>
      <x:c r="F24" s="92"/>
    </x:row>
    <x:row r="25">
      <x:c r="A25" s="92" t="str">
        <x:v>Review trigger</x:v>
      </x:c>
      <x:c r="B25" s="92"/>
      <x:c r="C25" s="92"/>
      <x:c r="D25" s="92"/>
      <x:c r="E25" s="92"/>
      <x:c r="F25" s="92"/>
    </x:row>
    <x:row r="26">
      <x:c r="A26" s="92" t="str">
        <x:v>Review date</x:v>
      </x:c>
      <x:c r="B26" s="92"/>
      <x:c r="C26" s="92"/>
      <x:c r="D26" s="92"/>
      <x:c r="E26" s="92"/>
      <x:c r="F26" s="92"/>
    </x:row>
  </x:sheetData>
  <x:mergeCells>
    <x:mergeCell ref="A1:F1"/>
    <x:mergeCell ref="A2:F2"/>
  </x:mergeCells>
  <x:dataValidations count="3">
    <x:dataValidation type="list" sqref="B19">
      <x:formula1>"Automate,Assist,Advise,Avoid / Defer"</x:formula1>
    </x:dataValidation>
    <x:dataValidation type="list" sqref="B20">
      <x:formula1>"Automate,Assist,Advise,Avoid / Defer"</x:formula1>
    </x:dataValidation>
    <x:dataValidation type="list" sqref="B24">
      <x:formula1>"Approve,Approve with Controls,Repeat Pilot,Defer,Reject"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18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18" hidden="0" customWidth="1"/>
  </x:cols>
  <x:sheetData>
    <x:row r="1" ht="34" customHeight="1">
      <x:c r="A1" s="91" t="str">
        <x:v>D5 — DEMONSTRATE</x:v>
      </x:c>
      <x:c r="B1" s="91" t="str">
        <x:v>D5 — DEMONSTRATE</x:v>
      </x:c>
      <x:c r="C1" s="91" t="str">
        <x:v>D5 — DEMONSTRATE</x:v>
      </x:c>
      <x:c r="D1" s="91" t="str">
        <x:v>D5 — DEMONSTRATE</x:v>
      </x:c>
      <x:c r="E1" s="91" t="str">
        <x:v>D5 — DEMONSTRATE</x:v>
      </x:c>
      <x:c r="F1" s="91" t="str">
        <x:v>D5 — DEMONSTRATE</x:v>
      </x:c>
      <x:c r="G1" s="91" t="str">
        <x:v>D5 — DEMONSTRATE</x:v>
      </x:c>
      <x:c r="H1" s="91"/>
    </x:row>
    <x:row r="2" ht="30" customHeight="1">
      <x:c r="A2" s="7" t="str">
        <x:v>Set thresholds before the pilot. Record evidence, impact, residual risk, acceptance authority, and review conditions before adoption.</x:v>
      </x:c>
      <x:c r="B2" s="7" t="str">
        <x:v>Set thresholds before the pilot. Record evidence and residual risk before adoption.</x:v>
      </x:c>
      <x:c r="C2" s="7" t="str">
        <x:v>Set thresholds before the pilot. Record evidence and residual risk before adoption.</x:v>
      </x:c>
      <x:c r="D2" s="7" t="str">
        <x:v>Set thresholds before the pilot. Record evidence and residual risk before adoption.</x:v>
      </x:c>
      <x:c r="E2" s="7" t="str">
        <x:v>Set thresholds before the pilot. Record evidence and residual risk before adoption.</x:v>
      </x:c>
      <x:c r="F2" s="7" t="str">
        <x:v>Set thresholds before the pilot. Record evidence and residual risk before adoption.</x:v>
      </x:c>
      <x:c r="G2" s="7" t="str">
        <x:v>Set thresholds before the pilot. Record evidence and residual risk before adoption.</x:v>
      </x:c>
      <x:c r="H2" s="92"/>
    </x:row>
    <x:row r="3">
      <x:c r="A3" s="92"/>
      <x:c r="B3" s="92"/>
      <x:c r="C3" s="92"/>
      <x:c r="D3" s="92"/>
      <x:c r="E3" s="92"/>
      <x:c r="F3" s="92"/>
      <x:c r="G3" s="92"/>
      <x:c r="H3" s="92"/>
    </x:row>
    <x:row r="4">
      <x:c r="A4" s="75" t="str">
        <x:v>Metric</x:v>
      </x:c>
      <x:c r="B4" s="76" t="str">
        <x:v>Unit</x:v>
      </x:c>
      <x:c r="C4" s="76" t="str">
        <x:v>Baseline</x:v>
      </x:c>
      <x:c r="D4" s="76" t="str">
        <x:v>Target threshold</x:v>
      </x:c>
      <x:c r="E4" s="76" t="str">
        <x:v>Actual</x:v>
      </x:c>
      <x:c r="F4" s="76" t="str">
        <x:v>Pass?</x:v>
      </x:c>
      <x:c r="G4" s="77" t="str">
        <x:v>Evidence reference</x:v>
      </x:c>
      <x:c r="H4" s="92"/>
    </x:row>
    <x:row r="5">
      <x:c r="A5" s="24" t="str">
        <x:v>Cycle time</x:v>
      </x:c>
      <x:c r="B5" s="25" t="str">
        <x:v>minutes/task</x:v>
      </x:c>
      <x:c r="C5" s="25" t="str"/>
      <x:c r="D5" s="25" t="str"/>
      <x:c r="E5" s="25" t="str"/>
      <x:c r="F5" s="25" t="str"/>
      <x:c r="G5" s="26" t="str"/>
      <x:c r="H5" s="92"/>
    </x:row>
    <x:row r="6">
      <x:c r="A6" s="53" t="str">
        <x:v>Cost per task</x:v>
      </x:c>
      <x:c r="B6" s="54" t="str">
        <x:v>currency/task</x:v>
      </x:c>
      <x:c r="C6" s="54" t="str"/>
      <x:c r="D6" s="54" t="str"/>
      <x:c r="E6" s="54" t="str"/>
      <x:c r="F6" s="54" t="str"/>
      <x:c r="G6" s="55" t="str"/>
      <x:c r="H6" s="92"/>
    </x:row>
    <x:row r="7">
      <x:c r="A7" s="53" t="str">
        <x:v>Task-specific quality</x:v>
      </x:c>
      <x:c r="B7" s="54" t="str">
        <x:v>%</x:v>
      </x:c>
      <x:c r="C7" s="54" t="str"/>
      <x:c r="D7" s="54" t="str"/>
      <x:c r="E7" s="54" t="str"/>
      <x:c r="F7" s="54" t="str"/>
      <x:c r="G7" s="55" t="str"/>
      <x:c r="H7" s="92"/>
    </x:row>
    <x:row r="8">
      <x:c r="A8" s="53" t="str">
        <x:v>Human correction rate</x:v>
      </x:c>
      <x:c r="B8" s="54" t="str">
        <x:v>%</x:v>
      </x:c>
      <x:c r="C8" s="54" t="str"/>
      <x:c r="D8" s="54" t="str"/>
      <x:c r="E8" s="54" t="str"/>
      <x:c r="F8" s="54" t="str"/>
      <x:c r="G8" s="55" t="str"/>
      <x:c r="H8" s="92"/>
    </x:row>
    <x:row r="9">
      <x:c r="A9" s="53" t="str">
        <x:v>Failure / exception rate</x:v>
      </x:c>
      <x:c r="B9" s="54" t="str">
        <x:v>%</x:v>
      </x:c>
      <x:c r="C9" s="54" t="str"/>
      <x:c r="D9" s="54" t="str"/>
      <x:c r="E9" s="54" t="str"/>
      <x:c r="F9" s="54" t="str"/>
      <x:c r="G9" s="55" t="str"/>
      <x:c r="H9" s="92"/>
    </x:row>
    <x:row r="10">
      <x:c r="A10" s="53" t="str">
        <x:v>User acceptance</x:v>
      </x:c>
      <x:c r="B10" s="54" t="str">
        <x:v>%</x:v>
      </x:c>
      <x:c r="C10" s="54" t="str"/>
      <x:c r="D10" s="54" t="str"/>
      <x:c r="E10" s="54" t="str"/>
      <x:c r="F10" s="54" t="str"/>
      <x:c r="G10" s="55" t="str"/>
      <x:c r="H10" s="92"/>
    </x:row>
    <x:row r="11">
      <x:c r="A11" s="27" t="str">
        <x:v>Material incidents</x:v>
      </x:c>
      <x:c r="B11" s="28" t="str">
        <x:v>count</x:v>
      </x:c>
      <x:c r="C11" s="28" t="str"/>
      <x:c r="D11" s="28" t="str">
        <x:v>0</x:v>
      </x:c>
      <x:c r="E11" s="28" t="str"/>
      <x:c r="F11" s="28" t="str"/>
      <x:c r="G11" s="29" t="str"/>
      <x:c r="H11" s="92"/>
    </x:row>
    <x:row r="12">
      <x:c r="A12" s="92"/>
      <x:c r="B12" s="92"/>
      <x:c r="C12" s="92"/>
      <x:c r="D12" s="92"/>
      <x:c r="E12" s="92"/>
      <x:c r="F12" s="92"/>
      <x:c r="G12" s="92"/>
      <x:c r="H12" s="92"/>
    </x:row>
    <x:row r="13">
      <x:c r="A13" s="75" t="str">
        <x:v>Evidence decision</x:v>
      </x:c>
      <x:c r="B13" s="76" t="str">
        <x:v>Owner</x:v>
      </x:c>
      <x:c r="C13" s="76" t="str">
        <x:v>Thresholds met?</x:v>
      </x:c>
      <x:c r="D13" s="76" t="str">
        <x:v>Residual risk level</x:v>
      </x:c>
      <x:c r="E13" s="76" t="str">
        <x:v>Impact acceptable?</x:v>
      </x:c>
      <x:c r="F13" s="76" t="str">
        <x:v>Acceptance authority identified?</x:v>
      </x:c>
      <x:c r="G13" s="77" t="str">
        <x:v>Pilot recommendation</x:v>
      </x:c>
      <x:c r="H13" s="81" t="str">
        <x:v>Review date</x:v>
      </x:c>
    </x:row>
    <x:row r="14">
      <x:c r="A14" s="68" t="str">
        <x:v>Pilot review</x:v>
      </x:c>
      <x:c r="B14" s="69"/>
      <x:c r="C14" s="69"/>
      <x:c r="D14" s="69"/>
      <x:c r="E14" s="69"/>
      <x:c r="F14" s="69"/>
      <x:c r="G14" s="70"/>
      <x:c r="H14" s="92"/>
    </x:row>
    <x:row r="15">
      <x:c r="A15" s="92"/>
      <x:c r="B15" s="92"/>
      <x:c r="C15" s="92"/>
      <x:c r="D15" s="92"/>
      <x:c r="E15" s="92"/>
      <x:c r="F15" s="92"/>
      <x:c r="G15" s="92"/>
      <x:c r="H15" s="92"/>
    </x:row>
    <x:row r="16">
      <x:c r="A16" s="81" t="str">
        <x:v>Final Governance Decision Record</x:v>
      </x:c>
      <x:c r="B16" s="81" t="str">
        <x:v>Entry</x:v>
      </x:c>
      <x:c r="C16" s="81"/>
      <x:c r="D16" s="81"/>
      <x:c r="E16" s="81"/>
      <x:c r="F16" s="81"/>
      <x:c r="G16" s="81"/>
      <x:c r="H16" s="81"/>
    </x:row>
    <x:row r="17">
      <x:c r="A17" s="44" t="str">
        <x:v>Final decision</x:v>
      </x:c>
      <x:c r="B17" s="44"/>
      <x:c r="C17" s="44"/>
      <x:c r="D17" s="44"/>
      <x:c r="E17" s="44"/>
      <x:c r="F17" s="44"/>
      <x:c r="G17" s="44"/>
      <x:c r="H17" s="92"/>
    </x:row>
    <x:row r="18">
      <x:c r="A18" s="44" t="str">
        <x:v>Decision rationale</x:v>
      </x:c>
      <x:c r="B18" s="44"/>
      <x:c r="C18" s="44"/>
      <x:c r="D18" s="44"/>
      <x:c r="E18" s="44"/>
      <x:c r="F18" s="44"/>
      <x:c r="G18" s="44"/>
      <x:c r="H18" s="92"/>
    </x:row>
    <x:row r="19">
      <x:c r="A19" s="92" t="str">
        <x:v>Evidence reviewed / references</x:v>
      </x:c>
      <x:c r="B19" s="92"/>
      <x:c r="C19" s="92"/>
      <x:c r="D19" s="92"/>
      <x:c r="E19" s="92"/>
      <x:c r="F19" s="92"/>
      <x:c r="G19" s="92"/>
      <x:c r="H19" s="92"/>
    </x:row>
    <x:row r="20">
      <x:c r="A20" s="90" t="str">
        <x:v>Residual risk</x:v>
      </x:c>
      <x:c r="B20" s="90"/>
      <x:c r="C20" s="90"/>
      <x:c r="D20" s="90"/>
      <x:c r="E20" s="90"/>
      <x:c r="F20" s="90"/>
      <x:c r="G20" s="90"/>
      <x:c r="H20" s="90"/>
    </x:row>
    <x:row r="21">
      <x:c r="A21" s="92" t="str">
        <x:v>Risk owner(s)</x:v>
      </x:c>
      <x:c r="B21" s="92"/>
    </x:row>
    <x:row r="22">
      <x:c r="A22" s="92" t="str">
        <x:v>Residual-risk acceptance authority</x:v>
      </x:c>
      <x:c r="B22" s="92"/>
    </x:row>
    <x:row r="23">
      <x:c r="A23" s="92" t="str">
        <x:v>Required controls / conditions</x:v>
      </x:c>
      <x:c r="B23" s="92"/>
    </x:row>
    <x:row r="24">
      <x:c r="A24" s="92" t="str">
        <x:v>Review trigger</x:v>
      </x:c>
      <x:c r="B24" s="92"/>
    </x:row>
    <x:row r="25">
      <x:c r="A25" s="92" t="str">
        <x:v>Review date</x:v>
      </x:c>
      <x:c r="B25" s="92"/>
    </x:row>
    <x:row r="27">
      <x:c r="A27" s="90" t="str">
        <x:v>Decision rule: Evidence + predefined thresholds + residual risk + impact → adoption decision. Reassess proportionately after material changes to task, purpose, users, data/knowledge, model/provider, capability, AI authority, operating environment, or relevant obligations.</x:v>
      </x:c>
      <x:c r="B27" s="90"/>
      <x:c r="C27" s="90"/>
      <x:c r="D27" s="90"/>
      <x:c r="E27" s="90"/>
      <x:c r="F27" s="90"/>
      <x:c r="G27" s="90"/>
      <x:c r="H27" s="90"/>
    </x:row>
  </x:sheetData>
  <x:mergeCells>
    <x:mergeCell ref="A1:G1"/>
    <x:mergeCell ref="A2:G2"/>
    <x:mergeCell ref="A16:G18"/>
  </x:mergeCells>
  <x:dataValidations count="8">
    <x:dataValidation type="list" sqref="F5:F11">
      <x:formula1>"Pass,Fail,Not measured"</x:formula1>
    </x:dataValidation>
    <x:dataValidation type="list" sqref="C14:E14">
      <x:formula1>"Yes,No,Conditional"</x:formula1>
    </x:dataValidation>
    <x:dataValidation type="list" sqref="F14">
      <x:formula1>"Yes,No"</x:formula1>
    </x:dataValidation>
    <x:dataValidation type="list" sqref="C14">
      <x:formula1>"Yes,No,Partial"</x:formula1>
    </x:dataValidation>
    <x:dataValidation type="list" sqref="D14">
      <x:formula1>"Low,Medium,High"</x:formula1>
    </x:dataValidation>
    <x:dataValidation type="list" sqref="E14">
      <x:formula1>"Yes,No,Conditional"</x:formula1>
    </x:dataValidation>
    <x:dataValidation type="list" sqref="G14">
      <x:formula1>"Approve,Approve with Controls,Repeat Pilot,Defer,Reject"</x:formula1>
    </x:dataValidation>
    <x:dataValidation type="list" sqref="B17">
      <x:formula1>"Approve,Approve with Controls,Repeat Pilot,Defer,Reject"</x:formula1>
    </x:dataValidation>
  </x:dataValidations>
  <x:pageMargins left="0.7" right="0.7" top="0.75" bottom="0.75" header="0.3" footer="0.3"/>
</x:worksheet>
</file>